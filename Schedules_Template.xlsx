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sr-my.sharepoint.com/personal/siddhatri_gupta_affiliate_ansr_com/Documents/Desktop/BSS-Finance/"/>
    </mc:Choice>
  </mc:AlternateContent>
  <xr:revisionPtr revIDLastSave="1" documentId="8_{9ED0911A-95B5-4939-94F8-43A1DFE2E7F5}" xr6:coauthVersionLast="47" xr6:coauthVersionMax="47" xr10:uidLastSave="{C15ECA37-83A6-4972-9E36-6C22BF5EBB44}"/>
  <bookViews>
    <workbookView xWindow="-110" yWindow="-110" windowWidth="19420" windowHeight="10300" tabRatio="1000" firstSheet="1" activeTab="7" xr2:uid="{777997DE-A0FB-47E8-BD30-94A3A5870939}"/>
  </bookViews>
  <sheets>
    <sheet name="Revenue Workings" sheetId="1" r:id="rId1"/>
    <sheet name="Accrued Expenses" sheetId="3" r:id="rId2"/>
    <sheet name="Inter Company Payable" sheetId="4" r:id="rId3"/>
    <sheet name="Accounts Payable" sheetId="5" r:id="rId4"/>
    <sheet name="Employee payables" sheetId="6" r:id="rId5"/>
    <sheet name="Statutory Liability - Employees" sheetId="7" r:id="rId6"/>
    <sheet name="Witholding taxes" sheetId="8" r:id="rId7"/>
    <sheet name="Bank Balance" sheetId="9" r:id="rId8"/>
    <sheet name="Other Receivables" sheetId="10" r:id="rId9"/>
    <sheet name="Loans &amp; Advances" sheetId="11" r:id="rId10"/>
    <sheet name="Employee Provisions" sheetId="12" r:id="rId11"/>
    <sheet name="Provision for Income tax" sheetId="13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2" l="1"/>
  <c r="F7" i="10"/>
  <c r="F19" i="10" s="1"/>
  <c r="F8" i="10"/>
  <c r="F9" i="10"/>
  <c r="F10" i="10"/>
  <c r="F11" i="10"/>
  <c r="F12" i="10"/>
  <c r="F13" i="10"/>
  <c r="F14" i="10"/>
  <c r="F15" i="10"/>
  <c r="F16" i="10"/>
  <c r="F17" i="10"/>
  <c r="F18" i="10"/>
  <c r="E20" i="3"/>
  <c r="F20" i="3"/>
  <c r="G20" i="3"/>
  <c r="H20" i="3"/>
  <c r="E33" i="5" l="1"/>
  <c r="E19" i="13"/>
  <c r="C12" i="11"/>
  <c r="D12" i="11"/>
  <c r="C19" i="10"/>
  <c r="D19" i="10"/>
  <c r="E19" i="10"/>
  <c r="F21" i="10"/>
  <c r="F22" i="10" s="1"/>
  <c r="D6" i="9"/>
  <c r="E6" i="9" s="1"/>
  <c r="D12" i="8"/>
  <c r="D8" i="7"/>
  <c r="C9" i="6"/>
  <c r="E9" i="4"/>
  <c r="F9" i="4"/>
  <c r="D20" i="3"/>
  <c r="B2" i="1"/>
  <c r="B2" i="3" s="1"/>
  <c r="B2" i="4" s="1"/>
  <c r="B2" i="5" s="1"/>
  <c r="B2" i="6" s="1"/>
  <c r="B2" i="7" s="1"/>
  <c r="B2" i="8" s="1"/>
  <c r="B2" i="9" s="1"/>
  <c r="B2" i="10" s="1" a="1"/>
  <c r="B2" i="10" s="1"/>
  <c r="B2" i="11" s="1"/>
  <c r="B2" i="12" s="1"/>
  <c r="B2" i="13" s="1"/>
  <c r="C28" i="1"/>
  <c r="C29" i="1"/>
  <c r="C30" i="1"/>
  <c r="C31" i="1"/>
  <c r="C35" i="1"/>
  <c r="C37" i="1"/>
  <c r="C38" i="1"/>
  <c r="C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<sst xmlns="http://schemas.openxmlformats.org/spreadsheetml/2006/main" count="200" uniqueCount="128">
  <si>
    <t>Net revenue for current month</t>
  </si>
  <si>
    <t>Less: Unbillled revenue for the month of March 22</t>
  </si>
  <si>
    <t>Invoice raised</t>
  </si>
  <si>
    <t>Differnce</t>
  </si>
  <si>
    <t>Expense as per P&amp;L</t>
  </si>
  <si>
    <t>Total</t>
  </si>
  <si>
    <t>740021 Exchange fluctuation - realized</t>
  </si>
  <si>
    <t>Expenses not included for the purpose of calculation of revenue as per intercompany agreement</t>
  </si>
  <si>
    <t>Tax Expense</t>
  </si>
  <si>
    <t>Total Revenue</t>
  </si>
  <si>
    <t>Mark Up @ XX%</t>
  </si>
  <si>
    <t>Total Cost</t>
  </si>
  <si>
    <t>Amortization</t>
  </si>
  <si>
    <t>Depreciation</t>
  </si>
  <si>
    <t>Miscellaneous Expenses</t>
  </si>
  <si>
    <t>Bank Charges</t>
  </si>
  <si>
    <t>Printing &amp; Stationery</t>
  </si>
  <si>
    <t>Postage &amp; courier</t>
  </si>
  <si>
    <t>Rates &amp; Taxes</t>
  </si>
  <si>
    <t>Trainings</t>
  </si>
  <si>
    <t>Membership and Subscriptions</t>
  </si>
  <si>
    <t>Corporate Social Responsibility</t>
  </si>
  <si>
    <t>Professional fees</t>
  </si>
  <si>
    <t>Recruitment Expenses</t>
  </si>
  <si>
    <t>ANSR Fees</t>
  </si>
  <si>
    <t>Travel</t>
  </si>
  <si>
    <t>Office maintenance</t>
  </si>
  <si>
    <t>Communication expenses</t>
  </si>
  <si>
    <t>Staff Welfare</t>
  </si>
  <si>
    <t>Transportation</t>
  </si>
  <si>
    <t>Employee Insurance</t>
  </si>
  <si>
    <t>Payroll provisions</t>
  </si>
  <si>
    <t>Remuneration Cost</t>
  </si>
  <si>
    <t>Amount</t>
  </si>
  <si>
    <t>Particulars</t>
  </si>
  <si>
    <t>Revenue Workings</t>
  </si>
  <si>
    <t>Advance CSR Expense</t>
  </si>
  <si>
    <t>Country by Country Intimation in Form No. 3CEAC and 3CEAB</t>
  </si>
  <si>
    <t>TBD</t>
  </si>
  <si>
    <t>Filing of Statement of Financial Transactions</t>
  </si>
  <si>
    <t>Annual Income Tax return preparation and filing</t>
  </si>
  <si>
    <t>Transfer Pricing Study Report</t>
  </si>
  <si>
    <t>Certification of form 29C / 28B</t>
  </si>
  <si>
    <t>Certification of form 56F</t>
  </si>
  <si>
    <t>Annual Performance Report (SEZ)</t>
  </si>
  <si>
    <t>Annual GST return (GSTR9 &amp; GSTR9C)</t>
  </si>
  <si>
    <t>Tax financials, if applicable</t>
  </si>
  <si>
    <t>Statutory audit of the Company under Indian GAAP</t>
  </si>
  <si>
    <t>Audit fee and filing for FY 2022-23</t>
  </si>
  <si>
    <t>Office Consumables</t>
  </si>
  <si>
    <t>ANSR Global Corporation Private Limited</t>
  </si>
  <si>
    <t xml:space="preserve">Postage &amp; Courier </t>
  </si>
  <si>
    <t>FY 2022-23</t>
  </si>
  <si>
    <t>Nature of expense</t>
  </si>
  <si>
    <t>Name of the Vendor</t>
  </si>
  <si>
    <t>Schedule Name - Accrued Expenses</t>
  </si>
  <si>
    <t xml:space="preserve">Advance Received </t>
  </si>
  <si>
    <t>Parent Company</t>
  </si>
  <si>
    <t>Amount in INR</t>
  </si>
  <si>
    <t>Amount in USD</t>
  </si>
  <si>
    <t>Purpose</t>
  </si>
  <si>
    <t>Date</t>
  </si>
  <si>
    <t>Schedule Name - 2024 - Inter-Company Payables</t>
  </si>
  <si>
    <t>Month</t>
  </si>
  <si>
    <t>Schedule Name - Accounts Payable</t>
  </si>
  <si>
    <t>2005 - Leave Encashment Liability</t>
  </si>
  <si>
    <t>2004 - Bonus Payable</t>
  </si>
  <si>
    <t>2003 - Payroll Payable (Hold or FNFS)</t>
  </si>
  <si>
    <t>2003 - Payroll Payable</t>
  </si>
  <si>
    <t>Schedule Name - Employee Payables</t>
  </si>
  <si>
    <t>2014 - Profession Tax Payable</t>
  </si>
  <si>
    <t>2013 - Provident Fund - Employees Contribution Payable</t>
  </si>
  <si>
    <t>2012 - Provident Fund - Employers Contribution Payable</t>
  </si>
  <si>
    <t>SL No</t>
  </si>
  <si>
    <t>Statutory Liability - Employees</t>
  </si>
  <si>
    <t>Total Amount</t>
  </si>
  <si>
    <t>2019 - Taxes Deducted At Source - 195 Non Residents</t>
  </si>
  <si>
    <t>2019 - Taxes Deducted At Source - 194 Q Goods</t>
  </si>
  <si>
    <t>2019 - Taxes Deducted At Source - 194 H Commission</t>
  </si>
  <si>
    <t>2019 - Taxes Deducted At Source - 194 I Rent</t>
  </si>
  <si>
    <t>2019 - Taxes Deducted At Source - 194 J Professional Fees</t>
  </si>
  <si>
    <t>2019 - Taxes Deducted At Source - 194 C Contractors</t>
  </si>
  <si>
    <t>2019 - Taxes Deducted At Source - 192 Salary</t>
  </si>
  <si>
    <t>Witholding taxes</t>
  </si>
  <si>
    <t>Bank Statement to be attached</t>
  </si>
  <si>
    <t>Account number</t>
  </si>
  <si>
    <t>Remarks</t>
  </si>
  <si>
    <t>Difference</t>
  </si>
  <si>
    <t>Balance as per bank statement</t>
  </si>
  <si>
    <t>Balance as per books</t>
  </si>
  <si>
    <t>1001 - Bank Current Account - INR</t>
  </si>
  <si>
    <t>Total prepaid expenses</t>
  </si>
  <si>
    <t>Amortisation</t>
  </si>
  <si>
    <t>Total Amount Paid</t>
  </si>
  <si>
    <t>TOTAL</t>
  </si>
  <si>
    <t>DCL (CI)</t>
  </si>
  <si>
    <t>DCL</t>
  </si>
  <si>
    <t>GMC</t>
  </si>
  <si>
    <t>Supposed to be Accounted as per CD working</t>
  </si>
  <si>
    <t>Schedule Name - Other Recivables</t>
  </si>
  <si>
    <t>Q4 Advance Tax Paid</t>
  </si>
  <si>
    <t>Q3 Advance Tax Paid</t>
  </si>
  <si>
    <t>Q2 Advance Tax Paid</t>
  </si>
  <si>
    <t>Q1 Advance Tax Paid</t>
  </si>
  <si>
    <t>Provision for income tax</t>
  </si>
  <si>
    <t>Advance Tax Paid</t>
  </si>
  <si>
    <t>1016 - Advance Tax</t>
  </si>
  <si>
    <t xml:space="preserve">Gratuity Liability </t>
  </si>
  <si>
    <t>Particular</t>
  </si>
  <si>
    <t>2007 - Gratuity Liability</t>
  </si>
  <si>
    <t>Tax Liability</t>
  </si>
  <si>
    <t>Nature of Expences</t>
  </si>
  <si>
    <t>230101 Provision for Income Tax</t>
  </si>
  <si>
    <t>2011 - Provision For Income Tax</t>
  </si>
  <si>
    <t>Party's Name</t>
  </si>
  <si>
    <t>Pending Amount</t>
  </si>
  <si>
    <t>Due on</t>
  </si>
  <si>
    <t>Overdue by days</t>
  </si>
  <si>
    <t>Tally Reference</t>
  </si>
  <si>
    <t>Description</t>
  </si>
  <si>
    <t>Invoice Number</t>
  </si>
  <si>
    <t>0 - 60 Days</t>
  </si>
  <si>
    <t>61 to 90 Days</t>
  </si>
  <si>
    <t>91 to 120 Days</t>
  </si>
  <si>
    <t>121 to 180 Days</t>
  </si>
  <si>
    <t>180 Days and above</t>
  </si>
  <si>
    <t>Sl. No</t>
  </si>
  <si>
    <t>FY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</si>
</sst>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[$-409]dd\-mmm\-yy;@"/>
    <numFmt numFmtId="167" formatCode="[$-409]d/mmm/yy;@"/>
    <numFmt numFmtId="168" formatCode="[$-409]mmm\-yy;@"/>
    <numFmt numFmtId="169" formatCode="[$-409]m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46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5">
    <xf numFmtId="0" fontId="0" fillId="0" borderId="0" xfId="0"/>
    <xf numFmtId="0" fontId="2" fillId="0" borderId="0" xfId="0" applyFont="1"/>
    <xf numFmtId="165" fontId="2" fillId="0" borderId="1" xfId="1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165" fontId="3" fillId="0" borderId="1" xfId="1" applyNumberFormat="1" applyFont="1" applyBorder="1"/>
    <xf numFmtId="0" fontId="3" fillId="0" borderId="1" xfId="0" applyFont="1" applyBorder="1"/>
    <xf numFmtId="165" fontId="3" fillId="0" borderId="0" xfId="1" applyNumberFormat="1" applyFont="1" applyFill="1" applyBorder="1" applyAlignment="1">
      <alignment horizontal="left"/>
    </xf>
    <xf numFmtId="165" fontId="3" fillId="0" borderId="0" xfId="1" applyNumberFormat="1" applyFont="1" applyBorder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3" fillId="0" borderId="0" xfId="2" applyFont="1"/>
    <xf numFmtId="165" fontId="3" fillId="0" borderId="1" xfId="1" applyNumberFormat="1" applyFont="1" applyBorder="1" applyAlignment="1"/>
    <xf numFmtId="165" fontId="2" fillId="0" borderId="1" xfId="1" applyNumberFormat="1" applyFont="1" applyBorder="1" applyAlignment="1"/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vertical="top"/>
    </xf>
    <xf numFmtId="166" fontId="2" fillId="3" borderId="1" xfId="0" applyNumberFormat="1" applyFont="1" applyFill="1" applyBorder="1"/>
    <xf numFmtId="165" fontId="2" fillId="3" borderId="1" xfId="1" applyNumberFormat="1" applyFont="1" applyFill="1" applyBorder="1" applyAlignment="1">
      <alignment horizontal="right" vertical="center"/>
    </xf>
    <xf numFmtId="167" fontId="2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165" fontId="2" fillId="3" borderId="1" xfId="1" applyNumberFormat="1" applyFont="1" applyFill="1" applyBorder="1"/>
    <xf numFmtId="165" fontId="3" fillId="0" borderId="1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65" fontId="2" fillId="0" borderId="1" xfId="1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165" fontId="3" fillId="0" borderId="1" xfId="1" applyNumberFormat="1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vertical="center"/>
    </xf>
    <xf numFmtId="0" fontId="3" fillId="0" borderId="0" xfId="0" applyFont="1" applyAlignment="1">
      <alignment horizontal="left"/>
    </xf>
    <xf numFmtId="165" fontId="3" fillId="3" borderId="6" xfId="1" applyNumberFormat="1" applyFont="1" applyFill="1" applyBorder="1"/>
    <xf numFmtId="0" fontId="3" fillId="3" borderId="5" xfId="0" applyFont="1" applyFill="1" applyBorder="1"/>
    <xf numFmtId="0" fontId="3" fillId="3" borderId="7" xfId="0" applyFont="1" applyFill="1" applyBorder="1"/>
    <xf numFmtId="165" fontId="2" fillId="3" borderId="8" xfId="1" applyNumberFormat="1" applyFont="1" applyFill="1" applyBorder="1"/>
    <xf numFmtId="0" fontId="2" fillId="3" borderId="0" xfId="0" applyFont="1" applyFill="1"/>
    <xf numFmtId="0" fontId="2" fillId="3" borderId="9" xfId="0" applyFont="1" applyFill="1" applyBorder="1"/>
    <xf numFmtId="165" fontId="3" fillId="3" borderId="1" xfId="1" applyNumberFormat="1" applyFont="1" applyFill="1" applyBorder="1"/>
    <xf numFmtId="0" fontId="3" fillId="3" borderId="1" xfId="0" applyFont="1" applyFill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43" fontId="3" fillId="0" borderId="1" xfId="1" applyFont="1" applyBorder="1"/>
    <xf numFmtId="165" fontId="2" fillId="0" borderId="1" xfId="1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2" applyFont="1" applyAlignment="1">
      <alignment horizontal="left"/>
    </xf>
    <xf numFmtId="169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vertical="top"/>
    </xf>
    <xf numFmtId="165" fontId="2" fillId="0" borderId="0" xfId="0" applyNumberFormat="1" applyFont="1" applyAlignment="1">
      <alignment vertical="top"/>
    </xf>
    <xf numFmtId="16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0" xfId="2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5" fontId="2" fillId="0" borderId="1" xfId="1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 vertical="top"/>
    </xf>
    <xf numFmtId="168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0" xfId="2" applyFont="1" applyAlignment="1">
      <alignment horizontal="left"/>
    </xf>
    <xf numFmtId="0" fontId="3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AB82650D-C387-4607-BAB6-44CB73D5B9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sr.sharepoint.com/sites/BSSFinanceCOE-BSSFinance-IssueandActiontracker/Shared%20Documents/Governance/Induction/Demo%20Folder/Operations/Reports/01.%20YYYY-YY/01.%20April%202023/Accounting%20Pa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f Classification"/>
      <sheetName val="BS"/>
      <sheetName val="PL"/>
      <sheetName val="Cash Flow"/>
      <sheetName val="Trial Balance"/>
      <sheetName val="Transaction List"/>
      <sheetName val="Linked TB"/>
      <sheetName val="Books"/>
      <sheetName val="Bank Ledger"/>
      <sheetName val="GCC India COA"/>
      <sheetName val="India GCC Standard COA v1"/>
    </sheetNames>
    <sheetDataSet>
      <sheetData sheetId="0"/>
      <sheetData sheetId="1"/>
      <sheetData sheetId="2">
        <row r="2">
          <cell r="A2" t="str">
            <v>Entity Name</v>
          </cell>
        </row>
        <row r="12">
          <cell r="G12">
            <v>0</v>
          </cell>
        </row>
        <row r="28">
          <cell r="G28">
            <v>0</v>
          </cell>
        </row>
        <row r="38">
          <cell r="G3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F9A7-CFB6-4BE9-8682-4FF525B8103E}">
  <dimension ref="B2:E42"/>
  <sheetViews>
    <sheetView showGridLines="0" zoomScaleNormal="100" workbookViewId="0">
      <selection activeCell="F43" sqref="F43"/>
    </sheetView>
  </sheetViews>
  <sheetFormatPr defaultRowHeight="12" x14ac:dyDescent="0.3"/>
  <cols>
    <col min="1" max="1" width="3.6328125" style="1" customWidth="1"/>
    <col min="2" max="2" width="37.08984375" style="1" customWidth="1"/>
    <col min="3" max="3" width="12.1796875" style="1" bestFit="1" customWidth="1"/>
    <col min="4" max="4" width="10" style="1" bestFit="1" customWidth="1"/>
    <col min="5" max="6" width="8.7265625" style="1"/>
    <col min="7" max="7" width="33.81640625" style="1" bestFit="1" customWidth="1"/>
    <col min="8" max="16384" width="8.7265625" style="1"/>
  </cols>
  <sheetData>
    <row r="2" spans="2:3" x14ac:dyDescent="0.3">
      <c r="B2" s="12" t="str">
        <f>[1]PL!A2</f>
        <v>Entity Name</v>
      </c>
    </row>
    <row r="3" spans="2:3" x14ac:dyDescent="0.3">
      <c r="B3" s="11" t="s">
        <v>35</v>
      </c>
    </row>
    <row r="5" spans="2:3" x14ac:dyDescent="0.3">
      <c r="B5" s="66" t="s">
        <v>34</v>
      </c>
      <c r="C5" s="66" t="s">
        <v>33</v>
      </c>
    </row>
    <row r="6" spans="2:3" x14ac:dyDescent="0.3">
      <c r="B6" s="3" t="s">
        <v>32</v>
      </c>
      <c r="C6" s="2">
        <v>0</v>
      </c>
    </row>
    <row r="7" spans="2:3" x14ac:dyDescent="0.3">
      <c r="B7" s="3" t="s">
        <v>31</v>
      </c>
      <c r="C7" s="2">
        <v>0</v>
      </c>
    </row>
    <row r="8" spans="2:3" x14ac:dyDescent="0.3">
      <c r="B8" s="3" t="s">
        <v>30</v>
      </c>
      <c r="C8" s="2">
        <v>0</v>
      </c>
    </row>
    <row r="9" spans="2:3" x14ac:dyDescent="0.3">
      <c r="B9" s="3" t="s">
        <v>29</v>
      </c>
      <c r="C9" s="2">
        <v>0</v>
      </c>
    </row>
    <row r="10" spans="2:3" x14ac:dyDescent="0.3">
      <c r="B10" s="3" t="s">
        <v>28</v>
      </c>
      <c r="C10" s="2">
        <v>0</v>
      </c>
    </row>
    <row r="11" spans="2:3" x14ac:dyDescent="0.3">
      <c r="B11" s="3" t="s">
        <v>27</v>
      </c>
      <c r="C11" s="2">
        <v>0</v>
      </c>
    </row>
    <row r="12" spans="2:3" x14ac:dyDescent="0.3">
      <c r="B12" s="3" t="s">
        <v>26</v>
      </c>
      <c r="C12" s="2">
        <v>0</v>
      </c>
    </row>
    <row r="13" spans="2:3" x14ac:dyDescent="0.3">
      <c r="B13" s="3" t="s">
        <v>25</v>
      </c>
      <c r="C13" s="2">
        <v>0</v>
      </c>
    </row>
    <row r="14" spans="2:3" x14ac:dyDescent="0.3">
      <c r="B14" s="3" t="s">
        <v>24</v>
      </c>
      <c r="C14" s="2">
        <v>0</v>
      </c>
    </row>
    <row r="15" spans="2:3" x14ac:dyDescent="0.3">
      <c r="B15" s="3" t="s">
        <v>23</v>
      </c>
      <c r="C15" s="2">
        <v>0</v>
      </c>
    </row>
    <row r="16" spans="2:3" x14ac:dyDescent="0.3">
      <c r="B16" s="3" t="s">
        <v>22</v>
      </c>
      <c r="C16" s="2">
        <v>0</v>
      </c>
    </row>
    <row r="17" spans="2:5" x14ac:dyDescent="0.3">
      <c r="B17" s="3" t="s">
        <v>21</v>
      </c>
      <c r="C17" s="2">
        <v>0</v>
      </c>
    </row>
    <row r="18" spans="2:5" x14ac:dyDescent="0.3">
      <c r="B18" s="3" t="s">
        <v>20</v>
      </c>
      <c r="C18" s="2">
        <v>0</v>
      </c>
    </row>
    <row r="19" spans="2:5" x14ac:dyDescent="0.3">
      <c r="B19" s="3" t="s">
        <v>19</v>
      </c>
      <c r="C19" s="2">
        <v>0</v>
      </c>
    </row>
    <row r="20" spans="2:5" x14ac:dyDescent="0.3">
      <c r="B20" s="3" t="s">
        <v>18</v>
      </c>
      <c r="C20" s="2">
        <v>0</v>
      </c>
    </row>
    <row r="21" spans="2:5" x14ac:dyDescent="0.3">
      <c r="B21" s="3" t="s">
        <v>17</v>
      </c>
      <c r="C21" s="2">
        <v>0</v>
      </c>
    </row>
    <row r="22" spans="2:5" x14ac:dyDescent="0.3">
      <c r="B22" s="3" t="s">
        <v>16</v>
      </c>
      <c r="C22" s="2">
        <v>0</v>
      </c>
    </row>
    <row r="23" spans="2:5" x14ac:dyDescent="0.3">
      <c r="B23" s="3" t="s">
        <v>15</v>
      </c>
      <c r="C23" s="2">
        <v>0</v>
      </c>
    </row>
    <row r="24" spans="2:5" x14ac:dyDescent="0.3">
      <c r="B24" s="3" t="s">
        <v>14</v>
      </c>
      <c r="C24" s="2">
        <v>0</v>
      </c>
    </row>
    <row r="25" spans="2:5" x14ac:dyDescent="0.3">
      <c r="B25" s="3" t="s">
        <v>13</v>
      </c>
      <c r="C25" s="2">
        <v>0</v>
      </c>
    </row>
    <row r="26" spans="2:5" x14ac:dyDescent="0.3">
      <c r="B26" s="3" t="s">
        <v>12</v>
      </c>
      <c r="C26" s="2">
        <v>0</v>
      </c>
    </row>
    <row r="27" spans="2:5" x14ac:dyDescent="0.3">
      <c r="B27" s="3"/>
      <c r="C27" s="2"/>
    </row>
    <row r="28" spans="2:5" x14ac:dyDescent="0.3">
      <c r="B28" s="5" t="s">
        <v>11</v>
      </c>
      <c r="C28" s="5">
        <f>SUM(C6:C26)</f>
        <v>0</v>
      </c>
      <c r="D28" s="10"/>
      <c r="E28" s="10"/>
    </row>
    <row r="29" spans="2:5" x14ac:dyDescent="0.3">
      <c r="B29" s="5" t="s">
        <v>10</v>
      </c>
      <c r="C29" s="5">
        <f>C28*17%</f>
        <v>0</v>
      </c>
    </row>
    <row r="30" spans="2:5" x14ac:dyDescent="0.3">
      <c r="B30" s="5" t="s">
        <v>9</v>
      </c>
      <c r="C30" s="5">
        <f>C28+C29</f>
        <v>0</v>
      </c>
      <c r="D30" s="9"/>
    </row>
    <row r="31" spans="2:5" x14ac:dyDescent="0.3">
      <c r="B31" s="5" t="s">
        <v>8</v>
      </c>
      <c r="C31" s="5">
        <f>C29*22%*1.1*1.04</f>
        <v>0</v>
      </c>
    </row>
    <row r="32" spans="2:5" x14ac:dyDescent="0.3">
      <c r="B32" s="8"/>
      <c r="C32" s="8"/>
    </row>
    <row r="33" spans="2:3" x14ac:dyDescent="0.3">
      <c r="B33" s="7" t="s">
        <v>7</v>
      </c>
    </row>
    <row r="34" spans="2:3" x14ac:dyDescent="0.3">
      <c r="B34" s="3" t="s">
        <v>6</v>
      </c>
      <c r="C34" s="2">
        <v>0</v>
      </c>
    </row>
    <row r="35" spans="2:3" x14ac:dyDescent="0.3">
      <c r="B35" s="6" t="s">
        <v>5</v>
      </c>
      <c r="C35" s="5">
        <f>SUM(C34:C34)</f>
        <v>0</v>
      </c>
    </row>
    <row r="37" spans="2:3" x14ac:dyDescent="0.3">
      <c r="B37" s="3" t="s">
        <v>4</v>
      </c>
      <c r="C37" s="2">
        <f>[1]PL!G38+[1]PL!G28+[1]PL!G12</f>
        <v>0</v>
      </c>
    </row>
    <row r="38" spans="2:3" x14ac:dyDescent="0.3">
      <c r="B38" s="3" t="s">
        <v>3</v>
      </c>
      <c r="C38" s="4">
        <f>C28+C35-C37</f>
        <v>0</v>
      </c>
    </row>
    <row r="40" spans="2:3" x14ac:dyDescent="0.3">
      <c r="B40" s="3" t="s">
        <v>2</v>
      </c>
      <c r="C40" s="2">
        <v>0</v>
      </c>
    </row>
    <row r="41" spans="2:3" x14ac:dyDescent="0.3">
      <c r="B41" s="3" t="s">
        <v>1</v>
      </c>
      <c r="C41" s="2">
        <v>0</v>
      </c>
    </row>
    <row r="42" spans="2:3" x14ac:dyDescent="0.3">
      <c r="B42" s="3" t="s">
        <v>0</v>
      </c>
      <c r="C42" s="2">
        <f>C40+C41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80DF-D9EE-4913-94DC-555D217E9B1F}">
  <dimension ref="B2:H24"/>
  <sheetViews>
    <sheetView showGridLines="0" zoomScaleNormal="100" workbookViewId="0">
      <selection activeCell="C3" sqref="C3"/>
    </sheetView>
  </sheetViews>
  <sheetFormatPr defaultRowHeight="12" x14ac:dyDescent="0.3"/>
  <cols>
    <col min="1" max="1" width="3.6328125" style="1" customWidth="1"/>
    <col min="2" max="2" width="35.36328125" style="1" customWidth="1"/>
    <col min="3" max="3" width="42.36328125" style="1" bestFit="1" customWidth="1"/>
    <col min="4" max="8" width="14.1796875" style="1" bestFit="1" customWidth="1"/>
    <col min="9" max="16384" width="8.7265625" style="1"/>
  </cols>
  <sheetData>
    <row r="2" spans="2:8" x14ac:dyDescent="0.3">
      <c r="B2" s="12" t="str">
        <f>'Revenue Workings'!B2</f>
        <v>Entity Name</v>
      </c>
    </row>
    <row r="3" spans="2:8" x14ac:dyDescent="0.3">
      <c r="B3" s="11" t="s">
        <v>55</v>
      </c>
    </row>
    <row r="5" spans="2:8" s="16" customFormat="1" x14ac:dyDescent="0.35">
      <c r="B5" s="67" t="s">
        <v>54</v>
      </c>
      <c r="C5" s="67" t="s">
        <v>53</v>
      </c>
      <c r="D5" s="67" t="s">
        <v>121</v>
      </c>
      <c r="E5" s="67" t="s">
        <v>122</v>
      </c>
      <c r="F5" s="67" t="s">
        <v>123</v>
      </c>
      <c r="G5" s="67" t="s">
        <v>124</v>
      </c>
      <c r="H5" s="67" t="s">
        <v>125</v>
      </c>
    </row>
    <row r="6" spans="2:8" x14ac:dyDescent="0.3">
      <c r="B6" s="3" t="s">
        <v>50</v>
      </c>
      <c r="C6" s="3" t="s">
        <v>51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</row>
    <row r="7" spans="2:8" x14ac:dyDescent="0.3">
      <c r="B7" s="15" t="s">
        <v>50</v>
      </c>
      <c r="C7" s="3" t="s">
        <v>49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</row>
    <row r="8" spans="2:8" x14ac:dyDescent="0.3">
      <c r="B8" s="15" t="s">
        <v>38</v>
      </c>
      <c r="C8" s="3" t="s">
        <v>48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</row>
    <row r="9" spans="2:8" x14ac:dyDescent="0.3">
      <c r="B9" s="15" t="s">
        <v>38</v>
      </c>
      <c r="C9" s="3" t="s">
        <v>47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</row>
    <row r="10" spans="2:8" x14ac:dyDescent="0.3">
      <c r="B10" s="15" t="s">
        <v>38</v>
      </c>
      <c r="C10" s="3" t="s">
        <v>46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</row>
    <row r="11" spans="2:8" x14ac:dyDescent="0.3">
      <c r="B11" s="15" t="s">
        <v>38</v>
      </c>
      <c r="C11" s="3" t="s">
        <v>45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</row>
    <row r="12" spans="2:8" x14ac:dyDescent="0.3">
      <c r="B12" s="15" t="s">
        <v>38</v>
      </c>
      <c r="C12" s="3" t="s">
        <v>44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</row>
    <row r="13" spans="2:8" x14ac:dyDescent="0.3">
      <c r="B13" s="15" t="s">
        <v>38</v>
      </c>
      <c r="C13" s="3" t="s">
        <v>43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</row>
    <row r="14" spans="2:8" x14ac:dyDescent="0.3">
      <c r="B14" s="15" t="s">
        <v>38</v>
      </c>
      <c r="C14" s="3" t="s">
        <v>42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</row>
    <row r="15" spans="2:8" x14ac:dyDescent="0.3">
      <c r="B15" s="15" t="s">
        <v>38</v>
      </c>
      <c r="C15" s="3" t="s">
        <v>41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</row>
    <row r="16" spans="2:8" x14ac:dyDescent="0.3">
      <c r="B16" s="15" t="s">
        <v>38</v>
      </c>
      <c r="C16" s="3" t="s">
        <v>40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</row>
    <row r="17" spans="2:8" x14ac:dyDescent="0.3">
      <c r="B17" s="15" t="s">
        <v>38</v>
      </c>
      <c r="C17" s="3" t="s">
        <v>39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</row>
    <row r="18" spans="2:8" x14ac:dyDescent="0.3">
      <c r="B18" s="15" t="s">
        <v>38</v>
      </c>
      <c r="C18" s="3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</row>
    <row r="19" spans="2:8" x14ac:dyDescent="0.3">
      <c r="B19" s="15" t="s">
        <v>21</v>
      </c>
      <c r="C19" s="15" t="s">
        <v>36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</row>
    <row r="20" spans="2:8" x14ac:dyDescent="0.3">
      <c r="B20" s="3"/>
      <c r="C20" s="6" t="s">
        <v>5</v>
      </c>
      <c r="D20" s="13">
        <f>SUM(D6:D19)</f>
        <v>0</v>
      </c>
      <c r="E20" s="13">
        <f t="shared" ref="E20:H20" si="0">SUM(E6:E19)</f>
        <v>0</v>
      </c>
      <c r="F20" s="13">
        <f t="shared" si="0"/>
        <v>0</v>
      </c>
      <c r="G20" s="13">
        <f t="shared" si="0"/>
        <v>0</v>
      </c>
      <c r="H20" s="13">
        <f t="shared" si="0"/>
        <v>0</v>
      </c>
    </row>
    <row r="22" spans="2:8" x14ac:dyDescent="0.3">
      <c r="F22" s="10"/>
    </row>
    <row r="24" spans="2:8" x14ac:dyDescent="0.3">
      <c r="F24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E7E2-4552-4B64-9BBA-FF4BEC6E0B8B}">
  <dimension ref="B2:F9"/>
  <sheetViews>
    <sheetView showGridLines="0" zoomScaleNormal="100" workbookViewId="0">
      <selection activeCell="G21" sqref="G21"/>
    </sheetView>
  </sheetViews>
  <sheetFormatPr defaultRowHeight="12" x14ac:dyDescent="0.3"/>
  <cols>
    <col min="1" max="1" width="3.6328125" style="1" customWidth="1"/>
    <col min="2" max="2" width="10.453125" style="1" bestFit="1" customWidth="1"/>
    <col min="3" max="3" width="19.54296875" style="1" customWidth="1"/>
    <col min="4" max="4" width="15" style="1" bestFit="1" customWidth="1"/>
    <col min="5" max="6" width="11.453125" style="1" bestFit="1" customWidth="1"/>
    <col min="7" max="16384" width="8.7265625" style="1"/>
  </cols>
  <sheetData>
    <row r="2" spans="2:6" x14ac:dyDescent="0.3">
      <c r="B2" s="12" t="str">
        <f>'Accrued Expenses'!B2</f>
        <v>Entity Name</v>
      </c>
    </row>
    <row r="3" spans="2:6" x14ac:dyDescent="0.3">
      <c r="B3" s="11" t="s">
        <v>62</v>
      </c>
    </row>
    <row r="5" spans="2:6" x14ac:dyDescent="0.3">
      <c r="B5" s="68" t="s">
        <v>61</v>
      </c>
      <c r="C5" s="67" t="s">
        <v>34</v>
      </c>
      <c r="D5" s="67" t="s">
        <v>60</v>
      </c>
      <c r="E5" s="67" t="s">
        <v>59</v>
      </c>
      <c r="F5" s="67" t="s">
        <v>58</v>
      </c>
    </row>
    <row r="6" spans="2:6" x14ac:dyDescent="0.3">
      <c r="B6" s="22"/>
      <c r="C6" s="19" t="s">
        <v>57</v>
      </c>
      <c r="D6" s="19" t="s">
        <v>56</v>
      </c>
      <c r="E6" s="21">
        <v>0</v>
      </c>
      <c r="F6" s="21">
        <v>0</v>
      </c>
    </row>
    <row r="7" spans="2:6" x14ac:dyDescent="0.3">
      <c r="B7" s="20"/>
      <c r="C7" s="19"/>
      <c r="D7" s="19"/>
      <c r="E7" s="18"/>
      <c r="F7" s="18"/>
    </row>
    <row r="8" spans="2:6" x14ac:dyDescent="0.3">
      <c r="B8" s="20"/>
      <c r="C8" s="19"/>
      <c r="D8" s="19"/>
      <c r="E8" s="18"/>
      <c r="F8" s="18"/>
    </row>
    <row r="9" spans="2:6" x14ac:dyDescent="0.3">
      <c r="B9" s="3"/>
      <c r="C9" s="72" t="s">
        <v>5</v>
      </c>
      <c r="D9" s="72"/>
      <c r="E9" s="5">
        <f>SUM(E6:E8)</f>
        <v>0</v>
      </c>
      <c r="F9" s="5">
        <f>SUM(F6:F8)</f>
        <v>0</v>
      </c>
    </row>
  </sheetData>
  <mergeCells count="1">
    <mergeCell ref="C9:D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738C-2F9B-46BA-AB33-4988F60B32FD}">
  <dimension ref="B2:I33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5" sqref="B5:I5"/>
    </sheetView>
  </sheetViews>
  <sheetFormatPr defaultRowHeight="12" x14ac:dyDescent="0.35"/>
  <cols>
    <col min="1" max="1" width="3.6328125" style="16" customWidth="1"/>
    <col min="2" max="2" width="9.7265625" style="16" customWidth="1"/>
    <col min="3" max="3" width="16.453125" style="16" customWidth="1"/>
    <col min="4" max="4" width="40.36328125" style="16" bestFit="1" customWidth="1"/>
    <col min="5" max="5" width="12.453125" style="16" bestFit="1" customWidth="1"/>
    <col min="6" max="6" width="9.7265625" style="16" customWidth="1"/>
    <col min="7" max="7" width="8.7265625" style="58"/>
    <col min="8" max="8" width="12.7265625" style="16" bestFit="1" customWidth="1"/>
    <col min="9" max="9" width="33.54296875" style="16" customWidth="1"/>
    <col min="10" max="16384" width="8.7265625" style="16"/>
  </cols>
  <sheetData>
    <row r="2" spans="2:9" x14ac:dyDescent="0.35">
      <c r="B2" s="57" t="str">
        <f>'Inter Company Payable'!B2</f>
        <v>Entity Name</v>
      </c>
      <c r="C2" s="57"/>
      <c r="D2" s="57"/>
    </row>
    <row r="3" spans="2:9" x14ac:dyDescent="0.35">
      <c r="B3" s="59" t="s">
        <v>64</v>
      </c>
      <c r="C3" s="59"/>
      <c r="D3" s="59"/>
    </row>
    <row r="5" spans="2:9" s="60" customFormat="1" ht="24" x14ac:dyDescent="0.35">
      <c r="B5" s="67" t="s">
        <v>61</v>
      </c>
      <c r="C5" s="67" t="s">
        <v>120</v>
      </c>
      <c r="D5" s="67" t="s">
        <v>114</v>
      </c>
      <c r="E5" s="67" t="s">
        <v>115</v>
      </c>
      <c r="F5" s="67" t="s">
        <v>116</v>
      </c>
      <c r="G5" s="71" t="s">
        <v>117</v>
      </c>
      <c r="H5" s="67" t="s">
        <v>118</v>
      </c>
      <c r="I5" s="67" t="s">
        <v>119</v>
      </c>
    </row>
    <row r="6" spans="2:9" x14ac:dyDescent="0.35">
      <c r="B6" s="61"/>
      <c r="C6" s="62"/>
      <c r="D6" s="62"/>
      <c r="E6" s="63"/>
      <c r="F6" s="61"/>
      <c r="G6" s="32"/>
      <c r="H6" s="62"/>
      <c r="I6" s="62"/>
    </row>
    <row r="7" spans="2:9" x14ac:dyDescent="0.35">
      <c r="B7" s="61"/>
      <c r="C7" s="62"/>
      <c r="D7" s="62"/>
      <c r="E7" s="63"/>
      <c r="F7" s="61"/>
      <c r="G7" s="32"/>
      <c r="H7" s="62"/>
      <c r="I7" s="62"/>
    </row>
    <row r="8" spans="2:9" x14ac:dyDescent="0.35">
      <c r="B8" s="61"/>
      <c r="C8" s="62"/>
      <c r="D8" s="62"/>
      <c r="E8" s="63"/>
      <c r="F8" s="61"/>
      <c r="G8" s="32"/>
      <c r="H8" s="62"/>
      <c r="I8" s="62"/>
    </row>
    <row r="9" spans="2:9" x14ac:dyDescent="0.35">
      <c r="B9" s="61"/>
      <c r="C9" s="62"/>
      <c r="D9" s="62"/>
      <c r="E9" s="63"/>
      <c r="F9" s="61"/>
      <c r="G9" s="32"/>
      <c r="H9" s="62"/>
      <c r="I9" s="62"/>
    </row>
    <row r="10" spans="2:9" x14ac:dyDescent="0.35">
      <c r="B10" s="61"/>
      <c r="C10" s="62"/>
      <c r="D10" s="62"/>
      <c r="E10" s="63"/>
      <c r="F10" s="61"/>
      <c r="G10" s="64"/>
      <c r="H10" s="62"/>
      <c r="I10" s="62"/>
    </row>
    <row r="11" spans="2:9" x14ac:dyDescent="0.35">
      <c r="B11" s="61"/>
      <c r="C11" s="62"/>
      <c r="D11" s="62"/>
      <c r="E11" s="63"/>
      <c r="F11" s="61"/>
      <c r="G11" s="64"/>
      <c r="H11" s="62"/>
      <c r="I11" s="62"/>
    </row>
    <row r="12" spans="2:9" x14ac:dyDescent="0.35">
      <c r="B12" s="61"/>
      <c r="C12" s="62"/>
      <c r="D12" s="62"/>
      <c r="E12" s="63"/>
      <c r="F12" s="61"/>
      <c r="G12" s="64"/>
      <c r="H12" s="62"/>
      <c r="I12" s="62"/>
    </row>
    <row r="13" spans="2:9" x14ac:dyDescent="0.35">
      <c r="B13" s="61"/>
      <c r="C13" s="62"/>
      <c r="D13" s="62"/>
      <c r="E13" s="63"/>
      <c r="F13" s="61"/>
      <c r="G13" s="64"/>
      <c r="H13" s="62"/>
      <c r="I13" s="62"/>
    </row>
    <row r="14" spans="2:9" x14ac:dyDescent="0.35">
      <c r="B14" s="61"/>
      <c r="C14" s="62"/>
      <c r="D14" s="62"/>
      <c r="E14" s="63"/>
      <c r="F14" s="61"/>
      <c r="G14" s="64"/>
      <c r="H14" s="62"/>
      <c r="I14" s="62"/>
    </row>
    <row r="15" spans="2:9" x14ac:dyDescent="0.35">
      <c r="B15" s="62"/>
      <c r="C15" s="62"/>
      <c r="D15" s="62"/>
      <c r="E15" s="62"/>
      <c r="F15" s="62"/>
      <c r="G15" s="32"/>
      <c r="H15" s="62"/>
      <c r="I15" s="62"/>
    </row>
    <row r="16" spans="2:9" x14ac:dyDescent="0.35">
      <c r="B16" s="62"/>
      <c r="C16" s="62"/>
      <c r="D16" s="62"/>
      <c r="E16" s="62"/>
      <c r="F16" s="62"/>
      <c r="G16" s="32"/>
      <c r="H16" s="62"/>
      <c r="I16" s="62"/>
    </row>
    <row r="17" spans="2:9" x14ac:dyDescent="0.35">
      <c r="B17" s="62"/>
      <c r="C17" s="62"/>
      <c r="D17" s="62"/>
      <c r="E17" s="62"/>
      <c r="F17" s="62"/>
      <c r="G17" s="32"/>
      <c r="H17" s="62"/>
      <c r="I17" s="62"/>
    </row>
    <row r="18" spans="2:9" x14ac:dyDescent="0.35">
      <c r="B18" s="62"/>
      <c r="C18" s="62"/>
      <c r="D18" s="62"/>
      <c r="E18" s="62"/>
      <c r="F18" s="62"/>
      <c r="G18" s="32"/>
      <c r="H18" s="62"/>
      <c r="I18" s="62"/>
    </row>
    <row r="19" spans="2:9" x14ac:dyDescent="0.35">
      <c r="B19" s="62"/>
      <c r="C19" s="62"/>
      <c r="D19" s="62"/>
      <c r="E19" s="62"/>
      <c r="F19" s="62"/>
      <c r="G19" s="32"/>
      <c r="H19" s="62"/>
      <c r="I19" s="62"/>
    </row>
    <row r="20" spans="2:9" x14ac:dyDescent="0.35">
      <c r="B20" s="62"/>
      <c r="C20" s="62"/>
      <c r="D20" s="62"/>
      <c r="E20" s="62"/>
      <c r="F20" s="62"/>
      <c r="G20" s="32"/>
      <c r="H20" s="62"/>
      <c r="I20" s="62"/>
    </row>
    <row r="21" spans="2:9" x14ac:dyDescent="0.35">
      <c r="B21" s="62"/>
      <c r="C21" s="62"/>
      <c r="D21" s="62"/>
      <c r="E21" s="62"/>
      <c r="F21" s="62"/>
      <c r="G21" s="32"/>
      <c r="H21" s="62"/>
      <c r="I21" s="62"/>
    </row>
    <row r="22" spans="2:9" x14ac:dyDescent="0.35">
      <c r="B22" s="62"/>
      <c r="C22" s="62"/>
      <c r="D22" s="62"/>
      <c r="E22" s="62"/>
      <c r="F22" s="62"/>
      <c r="G22" s="32"/>
      <c r="H22" s="62"/>
      <c r="I22" s="62"/>
    </row>
    <row r="23" spans="2:9" x14ac:dyDescent="0.35">
      <c r="B23" s="62"/>
      <c r="C23" s="62"/>
      <c r="D23" s="62"/>
      <c r="E23" s="62"/>
      <c r="F23" s="62"/>
      <c r="G23" s="32"/>
      <c r="H23" s="62"/>
      <c r="I23" s="62"/>
    </row>
    <row r="24" spans="2:9" x14ac:dyDescent="0.35">
      <c r="B24" s="62"/>
      <c r="C24" s="62"/>
      <c r="D24" s="62"/>
      <c r="E24" s="62"/>
      <c r="F24" s="62"/>
      <c r="G24" s="32"/>
      <c r="H24" s="62"/>
      <c r="I24" s="62"/>
    </row>
    <row r="25" spans="2:9" x14ac:dyDescent="0.35">
      <c r="B25" s="62"/>
      <c r="C25" s="62"/>
      <c r="D25" s="62"/>
      <c r="E25" s="62"/>
      <c r="F25" s="62"/>
      <c r="G25" s="32"/>
      <c r="H25" s="62"/>
      <c r="I25" s="62"/>
    </row>
    <row r="26" spans="2:9" x14ac:dyDescent="0.35">
      <c r="B26" s="62"/>
      <c r="C26" s="62"/>
      <c r="D26" s="62"/>
      <c r="E26" s="62"/>
      <c r="F26" s="62"/>
      <c r="G26" s="32"/>
      <c r="H26" s="62"/>
      <c r="I26" s="62"/>
    </row>
    <row r="27" spans="2:9" x14ac:dyDescent="0.35">
      <c r="B27" s="62"/>
      <c r="C27" s="62"/>
      <c r="D27" s="62"/>
      <c r="E27" s="62"/>
      <c r="F27" s="62"/>
      <c r="G27" s="32"/>
      <c r="H27" s="62"/>
      <c r="I27" s="62"/>
    </row>
    <row r="28" spans="2:9" x14ac:dyDescent="0.35">
      <c r="B28" s="62"/>
      <c r="C28" s="62"/>
      <c r="D28" s="62"/>
      <c r="E28" s="62"/>
      <c r="F28" s="62"/>
      <c r="G28" s="32"/>
      <c r="H28" s="62"/>
      <c r="I28" s="62"/>
    </row>
    <row r="29" spans="2:9" x14ac:dyDescent="0.35">
      <c r="B29" s="62"/>
      <c r="C29" s="62"/>
      <c r="D29" s="62"/>
      <c r="E29" s="62"/>
      <c r="F29" s="62"/>
      <c r="G29" s="32"/>
      <c r="H29" s="62"/>
      <c r="I29" s="62"/>
    </row>
    <row r="30" spans="2:9" x14ac:dyDescent="0.35">
      <c r="B30" s="62"/>
      <c r="C30" s="62"/>
      <c r="D30" s="62"/>
      <c r="E30" s="62"/>
      <c r="F30" s="62"/>
      <c r="G30" s="32"/>
      <c r="H30" s="62"/>
      <c r="I30" s="62"/>
    </row>
    <row r="31" spans="2:9" x14ac:dyDescent="0.35">
      <c r="B31" s="62"/>
      <c r="C31" s="62"/>
      <c r="D31" s="62"/>
      <c r="E31" s="62"/>
      <c r="F31" s="62"/>
      <c r="G31" s="32"/>
      <c r="H31" s="62"/>
      <c r="I31" s="62"/>
    </row>
    <row r="32" spans="2:9" x14ac:dyDescent="0.35">
      <c r="B32" s="62"/>
      <c r="C32" s="62"/>
      <c r="D32" s="62"/>
      <c r="E32" s="62"/>
      <c r="F32" s="62"/>
      <c r="G32" s="32"/>
      <c r="H32" s="62"/>
      <c r="I32" s="62"/>
    </row>
    <row r="33" spans="2:9" x14ac:dyDescent="0.35">
      <c r="B33" s="17" t="s">
        <v>5</v>
      </c>
      <c r="C33" s="17"/>
      <c r="D33" s="17"/>
      <c r="E33" s="65">
        <f>SUM(E6:E32)</f>
        <v>0</v>
      </c>
      <c r="F33" s="17"/>
      <c r="G33" s="17"/>
      <c r="H33" s="17"/>
      <c r="I3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BB93-0533-4DA8-84E3-C03F031C5710}">
  <dimension ref="B2:C9"/>
  <sheetViews>
    <sheetView showGridLines="0" zoomScaleNormal="100" workbookViewId="0">
      <selection activeCell="H13" sqref="H13"/>
    </sheetView>
  </sheetViews>
  <sheetFormatPr defaultRowHeight="12" x14ac:dyDescent="0.3"/>
  <cols>
    <col min="1" max="1" width="3.6328125" style="1" customWidth="1"/>
    <col min="2" max="2" width="30.08984375" style="1" bestFit="1" customWidth="1"/>
    <col min="3" max="3" width="11.90625" style="1" customWidth="1"/>
    <col min="4" max="16384" width="8.7265625" style="1"/>
  </cols>
  <sheetData>
    <row r="2" spans="2:3" x14ac:dyDescent="0.3">
      <c r="B2" s="12" t="str">
        <f>'Accounts Payable'!B2</f>
        <v>Entity Name</v>
      </c>
    </row>
    <row r="3" spans="2:3" x14ac:dyDescent="0.3">
      <c r="B3" s="11" t="s">
        <v>69</v>
      </c>
    </row>
    <row r="4" spans="2:3" x14ac:dyDescent="0.3">
      <c r="B4" s="69" t="s">
        <v>34</v>
      </c>
      <c r="C4" s="70" t="s">
        <v>63</v>
      </c>
    </row>
    <row r="5" spans="2:3" x14ac:dyDescent="0.3">
      <c r="B5" s="15" t="s">
        <v>68</v>
      </c>
      <c r="C5" s="27">
        <v>0</v>
      </c>
    </row>
    <row r="6" spans="2:3" x14ac:dyDescent="0.3">
      <c r="B6" s="15" t="s">
        <v>67</v>
      </c>
      <c r="C6" s="27">
        <v>0</v>
      </c>
    </row>
    <row r="7" spans="2:3" x14ac:dyDescent="0.3">
      <c r="B7" s="15" t="s">
        <v>66</v>
      </c>
      <c r="C7" s="27">
        <v>0</v>
      </c>
    </row>
    <row r="8" spans="2:3" x14ac:dyDescent="0.3">
      <c r="B8" s="28" t="s">
        <v>65</v>
      </c>
      <c r="C8" s="27">
        <v>0</v>
      </c>
    </row>
    <row r="9" spans="2:3" x14ac:dyDescent="0.3">
      <c r="B9" s="26" t="s">
        <v>5</v>
      </c>
      <c r="C9" s="25">
        <f>SUM(C5:C8)</f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19EC-0445-47C2-A97D-6A1B944B531C}">
  <dimension ref="B2:D8"/>
  <sheetViews>
    <sheetView showGridLines="0" zoomScaleNormal="100" workbookViewId="0">
      <selection activeCell="H13" sqref="H13"/>
    </sheetView>
  </sheetViews>
  <sheetFormatPr defaultRowHeight="12" x14ac:dyDescent="0.3"/>
  <cols>
    <col min="1" max="1" width="3.6328125" style="1" customWidth="1"/>
    <col min="2" max="2" width="5.54296875" style="1" customWidth="1"/>
    <col min="3" max="3" width="39.26953125" style="1" bestFit="1" customWidth="1"/>
    <col min="4" max="4" width="10.08984375" style="1" bestFit="1" customWidth="1"/>
    <col min="5" max="16384" width="8.7265625" style="1"/>
  </cols>
  <sheetData>
    <row r="2" spans="2:4" x14ac:dyDescent="0.3">
      <c r="B2" s="76" t="str">
        <f>'Employee payables'!B2</f>
        <v>Entity Name</v>
      </c>
      <c r="C2" s="76"/>
      <c r="D2" s="76"/>
    </row>
    <row r="3" spans="2:4" x14ac:dyDescent="0.3">
      <c r="B3" s="73" t="s">
        <v>74</v>
      </c>
      <c r="C3" s="73"/>
      <c r="D3" s="73"/>
    </row>
    <row r="4" spans="2:4" x14ac:dyDescent="0.3">
      <c r="B4" s="68" t="s">
        <v>126</v>
      </c>
      <c r="C4" s="69" t="s">
        <v>34</v>
      </c>
      <c r="D4" s="70" t="s">
        <v>63</v>
      </c>
    </row>
    <row r="5" spans="2:4" x14ac:dyDescent="0.3">
      <c r="B5" s="30">
        <v>1</v>
      </c>
      <c r="C5" s="15" t="s">
        <v>72</v>
      </c>
      <c r="D5" s="27">
        <v>0</v>
      </c>
    </row>
    <row r="6" spans="2:4" x14ac:dyDescent="0.3">
      <c r="B6" s="30">
        <v>2</v>
      </c>
      <c r="C6" s="15" t="s">
        <v>71</v>
      </c>
      <c r="D6" s="27">
        <v>0</v>
      </c>
    </row>
    <row r="7" spans="2:4" x14ac:dyDescent="0.3">
      <c r="B7" s="30">
        <v>3</v>
      </c>
      <c r="C7" s="15" t="s">
        <v>70</v>
      </c>
      <c r="D7" s="27">
        <v>0</v>
      </c>
    </row>
    <row r="8" spans="2:4" x14ac:dyDescent="0.3">
      <c r="B8" s="74" t="s">
        <v>5</v>
      </c>
      <c r="C8" s="75"/>
      <c r="D8" s="29">
        <f>SUM(D5:D7)</f>
        <v>0</v>
      </c>
    </row>
  </sheetData>
  <mergeCells count="3">
    <mergeCell ref="B3:D3"/>
    <mergeCell ref="B8:C8"/>
    <mergeCell ref="B2:D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149A-BC74-46A8-B25D-C97AE858997D}">
  <dimension ref="B2:D12"/>
  <sheetViews>
    <sheetView showGridLines="0" zoomScaleNormal="100" workbookViewId="0">
      <selection activeCell="H16" sqref="H16"/>
    </sheetView>
  </sheetViews>
  <sheetFormatPr defaultRowHeight="12" x14ac:dyDescent="0.3"/>
  <cols>
    <col min="1" max="1" width="3.6328125" style="1" customWidth="1"/>
    <col min="2" max="2" width="5.6328125" style="1" customWidth="1"/>
    <col min="3" max="3" width="43.90625" style="1" bestFit="1" customWidth="1"/>
    <col min="4" max="4" width="10.08984375" style="1" bestFit="1" customWidth="1"/>
    <col min="5" max="16384" width="8.7265625" style="1"/>
  </cols>
  <sheetData>
    <row r="2" spans="2:4" x14ac:dyDescent="0.3">
      <c r="B2" s="77" t="str">
        <f>'Statutory Liability - Employees'!$B$2</f>
        <v>Entity Name</v>
      </c>
      <c r="C2" s="77"/>
      <c r="D2" s="77"/>
    </row>
    <row r="3" spans="2:4" x14ac:dyDescent="0.3">
      <c r="B3" s="73" t="s">
        <v>83</v>
      </c>
      <c r="C3" s="73"/>
      <c r="D3" s="73"/>
    </row>
    <row r="4" spans="2:4" x14ac:dyDescent="0.3">
      <c r="B4" s="68" t="s">
        <v>73</v>
      </c>
      <c r="C4" s="69" t="s">
        <v>34</v>
      </c>
      <c r="D4" s="70" t="s">
        <v>33</v>
      </c>
    </row>
    <row r="5" spans="2:4" x14ac:dyDescent="0.3">
      <c r="B5" s="30">
        <v>1</v>
      </c>
      <c r="C5" s="15" t="s">
        <v>82</v>
      </c>
      <c r="D5" s="27">
        <v>0</v>
      </c>
    </row>
    <row r="6" spans="2:4" x14ac:dyDescent="0.3">
      <c r="B6" s="30">
        <v>2</v>
      </c>
      <c r="C6" s="15" t="s">
        <v>81</v>
      </c>
      <c r="D6" s="27">
        <v>0</v>
      </c>
    </row>
    <row r="7" spans="2:4" x14ac:dyDescent="0.3">
      <c r="B7" s="30">
        <v>3</v>
      </c>
      <c r="C7" s="15" t="s">
        <v>80</v>
      </c>
      <c r="D7" s="27">
        <v>0</v>
      </c>
    </row>
    <row r="8" spans="2:4" x14ac:dyDescent="0.3">
      <c r="B8" s="30">
        <v>4</v>
      </c>
      <c r="C8" s="15" t="s">
        <v>79</v>
      </c>
      <c r="D8" s="27">
        <v>0</v>
      </c>
    </row>
    <row r="9" spans="2:4" x14ac:dyDescent="0.3">
      <c r="B9" s="30">
        <v>5</v>
      </c>
      <c r="C9" s="15" t="s">
        <v>78</v>
      </c>
      <c r="D9" s="27">
        <v>0</v>
      </c>
    </row>
    <row r="10" spans="2:4" x14ac:dyDescent="0.3">
      <c r="B10" s="30">
        <v>6</v>
      </c>
      <c r="C10" s="15" t="s">
        <v>77</v>
      </c>
      <c r="D10" s="27">
        <v>0</v>
      </c>
    </row>
    <row r="11" spans="2:4" x14ac:dyDescent="0.3">
      <c r="B11" s="30">
        <v>7</v>
      </c>
      <c r="C11" s="15" t="s">
        <v>76</v>
      </c>
      <c r="D11" s="27">
        <v>0</v>
      </c>
    </row>
    <row r="12" spans="2:4" x14ac:dyDescent="0.3">
      <c r="B12" s="74" t="s">
        <v>75</v>
      </c>
      <c r="C12" s="75"/>
      <c r="D12" s="29">
        <f>SUM(D5:D11)</f>
        <v>0</v>
      </c>
    </row>
  </sheetData>
  <mergeCells count="3">
    <mergeCell ref="B12:C12"/>
    <mergeCell ref="B3:D3"/>
    <mergeCell ref="B2:D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6766-AA10-4F5A-A6A0-161451EDF40C}">
  <dimension ref="B2:F7"/>
  <sheetViews>
    <sheetView showGridLines="0" tabSelected="1" workbookViewId="0">
      <selection activeCell="I10" sqref="I10"/>
    </sheetView>
  </sheetViews>
  <sheetFormatPr defaultRowHeight="12" x14ac:dyDescent="0.3"/>
  <cols>
    <col min="1" max="1" width="3.6328125" style="1" customWidth="1"/>
    <col min="2" max="2" width="30.90625" style="1" bestFit="1" customWidth="1"/>
    <col min="3" max="3" width="12.81640625" style="1" customWidth="1"/>
    <col min="4" max="4" width="14.36328125" style="1" customWidth="1"/>
    <col min="5" max="5" width="8" style="1" bestFit="1" customWidth="1"/>
    <col min="6" max="6" width="24.54296875" style="1" customWidth="1"/>
    <col min="7" max="16384" width="8.7265625" style="1"/>
  </cols>
  <sheetData>
    <row r="2" spans="2:6" x14ac:dyDescent="0.3">
      <c r="B2" s="77" t="str">
        <f>'Witholding taxes'!$B$2</f>
        <v>Entity Name</v>
      </c>
      <c r="C2" s="77"/>
      <c r="D2" s="77"/>
    </row>
    <row r="3" spans="2:6" x14ac:dyDescent="0.3">
      <c r="B3" s="77" t="s">
        <v>90</v>
      </c>
      <c r="C3" s="77"/>
      <c r="D3" s="77"/>
      <c r="E3" s="77"/>
      <c r="F3" s="77"/>
    </row>
    <row r="4" spans="2:6" x14ac:dyDescent="0.3">
      <c r="B4" s="34"/>
      <c r="C4" s="34"/>
      <c r="D4" s="34"/>
      <c r="E4" s="34"/>
      <c r="F4" s="34"/>
    </row>
    <row r="5" spans="2:6" ht="24" x14ac:dyDescent="0.3">
      <c r="B5" s="67" t="s">
        <v>34</v>
      </c>
      <c r="C5" s="71" t="s">
        <v>89</v>
      </c>
      <c r="D5" s="71" t="s">
        <v>88</v>
      </c>
      <c r="E5" s="67" t="s">
        <v>87</v>
      </c>
      <c r="F5" s="67" t="s">
        <v>86</v>
      </c>
    </row>
    <row r="6" spans="2:6" ht="54" customHeight="1" x14ac:dyDescent="0.3">
      <c r="B6" s="32" t="s">
        <v>85</v>
      </c>
      <c r="C6" s="33">
        <v>0</v>
      </c>
      <c r="D6" s="33">
        <f>C6</f>
        <v>0</v>
      </c>
      <c r="E6" s="33">
        <f>C6-D6</f>
        <v>0</v>
      </c>
      <c r="F6" s="32" t="s">
        <v>84</v>
      </c>
    </row>
    <row r="7" spans="2:6" x14ac:dyDescent="0.3">
      <c r="B7" s="31"/>
    </row>
  </sheetData>
  <mergeCells count="2">
    <mergeCell ref="B3:F3"/>
    <mergeCell ref="B2:D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8030-1D59-4F33-B606-37BCAE48F752}">
  <dimension ref="B2:F22"/>
  <sheetViews>
    <sheetView showGridLines="0" topLeftCell="A5" zoomScaleNormal="100" workbookViewId="0">
      <selection activeCell="H16" sqref="H16"/>
    </sheetView>
  </sheetViews>
  <sheetFormatPr defaultRowHeight="12" x14ac:dyDescent="0.3"/>
  <cols>
    <col min="1" max="1" width="3.6328125" style="1" customWidth="1"/>
    <col min="2" max="2" width="11.7265625" style="1" customWidth="1"/>
    <col min="3" max="3" width="11.81640625" style="1" bestFit="1" customWidth="1"/>
    <col min="4" max="4" width="9.26953125" style="1" customWidth="1"/>
    <col min="5" max="5" width="9.1796875" style="1" customWidth="1"/>
    <col min="6" max="6" width="13.453125" style="1" bestFit="1" customWidth="1"/>
    <col min="7" max="16384" width="8.7265625" style="1"/>
  </cols>
  <sheetData>
    <row r="2" spans="2:6" x14ac:dyDescent="0.3">
      <c r="B2" s="12" t="str" cm="1">
        <f t="array" ref="B2:D2">'Bank Balance'!B2:D2</f>
        <v>Entity Name</v>
      </c>
      <c r="C2" s="1">
        <v>0</v>
      </c>
      <c r="D2" s="1">
        <v>0</v>
      </c>
    </row>
    <row r="3" spans="2:6" x14ac:dyDescent="0.3">
      <c r="B3" s="11" t="s">
        <v>99</v>
      </c>
    </row>
    <row r="4" spans="2:6" x14ac:dyDescent="0.3">
      <c r="B4" s="11"/>
    </row>
    <row r="5" spans="2:6" x14ac:dyDescent="0.3">
      <c r="B5" s="78" t="s">
        <v>98</v>
      </c>
      <c r="C5" s="79"/>
      <c r="D5" s="79"/>
      <c r="E5" s="79"/>
      <c r="F5" s="79"/>
    </row>
    <row r="6" spans="2:6" x14ac:dyDescent="0.3">
      <c r="B6" s="44" t="s">
        <v>63</v>
      </c>
      <c r="C6" s="44" t="s">
        <v>97</v>
      </c>
      <c r="D6" s="44" t="s">
        <v>96</v>
      </c>
      <c r="E6" s="44" t="s">
        <v>95</v>
      </c>
      <c r="F6" s="44" t="s">
        <v>5</v>
      </c>
    </row>
    <row r="7" spans="2:6" x14ac:dyDescent="0.3">
      <c r="B7" s="43">
        <v>44652</v>
      </c>
      <c r="C7" s="24">
        <v>0</v>
      </c>
      <c r="D7" s="24">
        <v>0</v>
      </c>
      <c r="E7" s="24">
        <v>0</v>
      </c>
      <c r="F7" s="24">
        <f>SUM(C7:E7)</f>
        <v>0</v>
      </c>
    </row>
    <row r="8" spans="2:6" x14ac:dyDescent="0.3">
      <c r="B8" s="43">
        <v>44682</v>
      </c>
      <c r="C8" s="24">
        <v>0</v>
      </c>
      <c r="D8" s="24">
        <v>0</v>
      </c>
      <c r="E8" s="24">
        <v>0</v>
      </c>
      <c r="F8" s="24">
        <f>SUM(C8:E8)</f>
        <v>0</v>
      </c>
    </row>
    <row r="9" spans="2:6" x14ac:dyDescent="0.3">
      <c r="B9" s="43">
        <v>44713</v>
      </c>
      <c r="C9" s="24">
        <v>0</v>
      </c>
      <c r="D9" s="24">
        <v>0</v>
      </c>
      <c r="E9" s="24">
        <v>0</v>
      </c>
      <c r="F9" s="24">
        <f>SUM(C9:E9)</f>
        <v>0</v>
      </c>
    </row>
    <row r="10" spans="2:6" x14ac:dyDescent="0.3">
      <c r="B10" s="43">
        <v>44743</v>
      </c>
      <c r="C10" s="24">
        <v>0</v>
      </c>
      <c r="D10" s="24">
        <v>0</v>
      </c>
      <c r="E10" s="24">
        <v>0</v>
      </c>
      <c r="F10" s="24">
        <f>SUM(C10:E10)</f>
        <v>0</v>
      </c>
    </row>
    <row r="11" spans="2:6" x14ac:dyDescent="0.3">
      <c r="B11" s="43">
        <v>44774</v>
      </c>
      <c r="C11" s="24">
        <v>0</v>
      </c>
      <c r="D11" s="24">
        <v>0</v>
      </c>
      <c r="E11" s="24">
        <v>0</v>
      </c>
      <c r="F11" s="24">
        <f>SUM(C11:E11)</f>
        <v>0</v>
      </c>
    </row>
    <row r="12" spans="2:6" x14ac:dyDescent="0.3">
      <c r="B12" s="43">
        <v>44805</v>
      </c>
      <c r="C12" s="24">
        <v>0</v>
      </c>
      <c r="D12" s="24">
        <v>0</v>
      </c>
      <c r="E12" s="24">
        <v>0</v>
      </c>
      <c r="F12" s="24">
        <f>SUM(C12:E12)</f>
        <v>0</v>
      </c>
    </row>
    <row r="13" spans="2:6" x14ac:dyDescent="0.3">
      <c r="B13" s="43">
        <v>44835</v>
      </c>
      <c r="C13" s="24">
        <v>0</v>
      </c>
      <c r="D13" s="24">
        <v>0</v>
      </c>
      <c r="E13" s="24">
        <v>0</v>
      </c>
      <c r="F13" s="24">
        <f>SUM(C13:E13)</f>
        <v>0</v>
      </c>
    </row>
    <row r="14" spans="2:6" x14ac:dyDescent="0.3">
      <c r="B14" s="43">
        <v>44866</v>
      </c>
      <c r="C14" s="24">
        <v>0</v>
      </c>
      <c r="D14" s="24">
        <v>0</v>
      </c>
      <c r="E14" s="24">
        <v>0</v>
      </c>
      <c r="F14" s="24">
        <f>SUM(C14:E14)</f>
        <v>0</v>
      </c>
    </row>
    <row r="15" spans="2:6" x14ac:dyDescent="0.3">
      <c r="B15" s="43">
        <v>44896</v>
      </c>
      <c r="C15" s="24">
        <v>0</v>
      </c>
      <c r="D15" s="24">
        <v>0</v>
      </c>
      <c r="E15" s="24">
        <v>0</v>
      </c>
      <c r="F15" s="24">
        <f>SUM(C15:E15)</f>
        <v>0</v>
      </c>
    </row>
    <row r="16" spans="2:6" x14ac:dyDescent="0.3">
      <c r="B16" s="43">
        <v>45292</v>
      </c>
      <c r="C16" s="24">
        <v>0</v>
      </c>
      <c r="D16" s="24">
        <v>0</v>
      </c>
      <c r="E16" s="24">
        <v>0</v>
      </c>
      <c r="F16" s="24">
        <f>SUM(C16:E16)</f>
        <v>0</v>
      </c>
    </row>
    <row r="17" spans="2:6" x14ac:dyDescent="0.3">
      <c r="B17" s="43">
        <v>45323</v>
      </c>
      <c r="C17" s="24">
        <v>0</v>
      </c>
      <c r="D17" s="24">
        <v>0</v>
      </c>
      <c r="E17" s="24">
        <v>0</v>
      </c>
      <c r="F17" s="24">
        <f>SUM(C17:E17)</f>
        <v>0</v>
      </c>
    </row>
    <row r="18" spans="2:6" x14ac:dyDescent="0.3">
      <c r="B18" s="43">
        <v>45352</v>
      </c>
      <c r="C18" s="24">
        <v>0</v>
      </c>
      <c r="D18" s="24">
        <v>0</v>
      </c>
      <c r="E18" s="24">
        <v>0</v>
      </c>
      <c r="F18" s="24">
        <f>SUM(C18:E18)</f>
        <v>0</v>
      </c>
    </row>
    <row r="19" spans="2:6" x14ac:dyDescent="0.3">
      <c r="B19" s="42" t="s">
        <v>94</v>
      </c>
      <c r="C19" s="41">
        <f>SUM(C7:C18)</f>
        <v>0</v>
      </c>
      <c r="D19" s="41">
        <f>SUM(D7:D18)</f>
        <v>0</v>
      </c>
      <c r="E19" s="41">
        <f>SUM(E7:E18)</f>
        <v>0</v>
      </c>
      <c r="F19" s="41">
        <f>SUM(F7:F18)</f>
        <v>0</v>
      </c>
    </row>
    <row r="20" spans="2:6" x14ac:dyDescent="0.3">
      <c r="B20" s="40" t="s">
        <v>93</v>
      </c>
      <c r="C20" s="39"/>
      <c r="D20" s="39"/>
      <c r="E20" s="39"/>
      <c r="F20" s="38"/>
    </row>
    <row r="21" spans="2:6" x14ac:dyDescent="0.3">
      <c r="B21" s="40" t="s">
        <v>92</v>
      </c>
      <c r="C21" s="39"/>
      <c r="D21" s="39"/>
      <c r="E21" s="39"/>
      <c r="F21" s="38">
        <f>-F19</f>
        <v>0</v>
      </c>
    </row>
    <row r="22" spans="2:6" x14ac:dyDescent="0.3">
      <c r="B22" s="37" t="s">
        <v>91</v>
      </c>
      <c r="C22" s="36"/>
      <c r="D22" s="36"/>
      <c r="E22" s="36"/>
      <c r="F22" s="35">
        <f>SUM(F20:F21)</f>
        <v>0</v>
      </c>
    </row>
  </sheetData>
  <mergeCells count="1">
    <mergeCell ref="B5:F5"/>
  </mergeCells>
  <pageMargins left="0.7" right="0.7" top="0.75" bottom="0.75" header="0.3" footer="0.3"/>
  <pageSetup orientation="portrait" r:id="rId1"/>
  <ignoredErrors>
    <ignoredError sqref="F7:F18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63F0-71FC-4A06-9033-190824D0BD6A}">
  <dimension ref="B2:G12"/>
  <sheetViews>
    <sheetView showGridLines="0" zoomScaleNormal="100" workbookViewId="0"/>
  </sheetViews>
  <sheetFormatPr defaultRowHeight="12" x14ac:dyDescent="0.3"/>
  <cols>
    <col min="1" max="1" width="3.6328125" style="1" customWidth="1"/>
    <col min="2" max="2" width="28.1796875" style="1" customWidth="1"/>
    <col min="3" max="3" width="11.08984375" style="1" bestFit="1" customWidth="1"/>
    <col min="4" max="4" width="11.08984375" style="1" customWidth="1"/>
    <col min="5" max="5" width="33.7265625" style="1" customWidth="1"/>
    <col min="6" max="16384" width="8.7265625" style="1"/>
  </cols>
  <sheetData>
    <row r="2" spans="2:7" x14ac:dyDescent="0.3">
      <c r="B2" s="51" t="str">
        <f>'Other Receivables'!B2</f>
        <v>Entity Name</v>
      </c>
      <c r="C2" s="50"/>
      <c r="D2" s="50"/>
    </row>
    <row r="3" spans="2:7" x14ac:dyDescent="0.3">
      <c r="B3" s="77" t="s">
        <v>106</v>
      </c>
      <c r="C3" s="77"/>
      <c r="D3" s="34"/>
    </row>
    <row r="4" spans="2:7" x14ac:dyDescent="0.3">
      <c r="B4" s="49"/>
      <c r="C4" s="49"/>
      <c r="D4" s="34"/>
    </row>
    <row r="5" spans="2:7" x14ac:dyDescent="0.3">
      <c r="B5" s="67" t="s">
        <v>34</v>
      </c>
      <c r="C5" s="67" t="s">
        <v>52</v>
      </c>
      <c r="D5" s="67" t="s">
        <v>127</v>
      </c>
      <c r="E5" s="67" t="s">
        <v>86</v>
      </c>
    </row>
    <row r="6" spans="2:7" x14ac:dyDescent="0.3">
      <c r="B6" s="3" t="s">
        <v>105</v>
      </c>
      <c r="C6" s="47">
        <v>0</v>
      </c>
      <c r="D6" s="47">
        <v>0</v>
      </c>
      <c r="E6" s="45"/>
    </row>
    <row r="7" spans="2:7" x14ac:dyDescent="0.3">
      <c r="B7" s="48" t="s">
        <v>104</v>
      </c>
      <c r="C7" s="47">
        <v>0</v>
      </c>
      <c r="D7" s="47">
        <v>0</v>
      </c>
      <c r="E7" s="45"/>
    </row>
    <row r="8" spans="2:7" x14ac:dyDescent="0.3">
      <c r="B8" s="48" t="s">
        <v>103</v>
      </c>
      <c r="C8" s="47">
        <v>0</v>
      </c>
      <c r="D8" s="47">
        <v>0</v>
      </c>
      <c r="E8" s="45"/>
      <c r="G8" s="10"/>
    </row>
    <row r="9" spans="2:7" x14ac:dyDescent="0.3">
      <c r="B9" s="48" t="s">
        <v>102</v>
      </c>
      <c r="C9" s="47">
        <v>0</v>
      </c>
      <c r="D9" s="47">
        <v>0</v>
      </c>
      <c r="E9" s="45"/>
      <c r="G9" s="10"/>
    </row>
    <row r="10" spans="2:7" x14ac:dyDescent="0.3">
      <c r="B10" s="48" t="s">
        <v>101</v>
      </c>
      <c r="C10" s="47">
        <v>0</v>
      </c>
      <c r="D10" s="47">
        <v>0</v>
      </c>
      <c r="E10" s="45"/>
      <c r="G10" s="10"/>
    </row>
    <row r="11" spans="2:7" x14ac:dyDescent="0.3">
      <c r="B11" s="48" t="s">
        <v>100</v>
      </c>
      <c r="C11" s="47">
        <v>0</v>
      </c>
      <c r="D11" s="47">
        <v>0</v>
      </c>
      <c r="E11" s="45"/>
      <c r="G11" s="10"/>
    </row>
    <row r="12" spans="2:7" x14ac:dyDescent="0.3">
      <c r="B12" s="23" t="s">
        <v>5</v>
      </c>
      <c r="C12" s="46">
        <f>SUM(C6:C11)</f>
        <v>0</v>
      </c>
      <c r="D12" s="46">
        <f>SUM(D6:D11)</f>
        <v>0</v>
      </c>
      <c r="E12" s="45"/>
    </row>
  </sheetData>
  <mergeCells count="1">
    <mergeCell ref="B3:C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EEF0-9FE6-404D-8900-D02AA2F262C9}">
  <dimension ref="B2:D18"/>
  <sheetViews>
    <sheetView showGridLines="0" workbookViewId="0">
      <selection activeCell="D19" sqref="D19"/>
    </sheetView>
  </sheetViews>
  <sheetFormatPr defaultRowHeight="12" x14ac:dyDescent="0.3"/>
  <cols>
    <col min="1" max="1" width="3.6328125" style="1" customWidth="1"/>
    <col min="2" max="2" width="18.36328125" style="1" customWidth="1"/>
    <col min="3" max="3" width="11.453125" style="1" bestFit="1" customWidth="1"/>
    <col min="4" max="4" width="8.81640625" style="1" bestFit="1" customWidth="1"/>
    <col min="5" max="16384" width="8.7265625" style="1"/>
  </cols>
  <sheetData>
    <row r="2" spans="2:4" x14ac:dyDescent="0.3">
      <c r="B2" s="12" t="str">
        <f>'Loans &amp; Advances'!B2</f>
        <v>Entity Name</v>
      </c>
    </row>
    <row r="3" spans="2:4" x14ac:dyDescent="0.3">
      <c r="B3" s="11" t="s">
        <v>109</v>
      </c>
    </row>
    <row r="5" spans="2:4" x14ac:dyDescent="0.3">
      <c r="B5" s="68" t="s">
        <v>108</v>
      </c>
      <c r="C5" s="68" t="s">
        <v>63</v>
      </c>
      <c r="D5" s="68" t="s">
        <v>33</v>
      </c>
    </row>
    <row r="6" spans="2:4" x14ac:dyDescent="0.3">
      <c r="B6" s="3" t="s">
        <v>107</v>
      </c>
      <c r="C6" s="52">
        <v>45017</v>
      </c>
      <c r="D6" s="2">
        <v>0</v>
      </c>
    </row>
    <row r="7" spans="2:4" x14ac:dyDescent="0.3">
      <c r="B7" s="3" t="s">
        <v>107</v>
      </c>
      <c r="C7" s="52">
        <v>45047</v>
      </c>
      <c r="D7" s="2">
        <v>0</v>
      </c>
    </row>
    <row r="8" spans="2:4" x14ac:dyDescent="0.3">
      <c r="B8" s="3" t="s">
        <v>107</v>
      </c>
      <c r="C8" s="52">
        <v>45078</v>
      </c>
      <c r="D8" s="2">
        <v>0</v>
      </c>
    </row>
    <row r="9" spans="2:4" x14ac:dyDescent="0.3">
      <c r="B9" s="3" t="s">
        <v>107</v>
      </c>
      <c r="C9" s="52">
        <v>45108</v>
      </c>
      <c r="D9" s="2">
        <v>0</v>
      </c>
    </row>
    <row r="10" spans="2:4" x14ac:dyDescent="0.3">
      <c r="B10" s="3" t="s">
        <v>107</v>
      </c>
      <c r="C10" s="52">
        <v>45139</v>
      </c>
      <c r="D10" s="2">
        <v>0</v>
      </c>
    </row>
    <row r="11" spans="2:4" x14ac:dyDescent="0.3">
      <c r="B11" s="3" t="s">
        <v>107</v>
      </c>
      <c r="C11" s="52">
        <v>45170</v>
      </c>
      <c r="D11" s="2">
        <v>0</v>
      </c>
    </row>
    <row r="12" spans="2:4" x14ac:dyDescent="0.3">
      <c r="B12" s="3" t="s">
        <v>107</v>
      </c>
      <c r="C12" s="52">
        <v>45200</v>
      </c>
      <c r="D12" s="2">
        <v>0</v>
      </c>
    </row>
    <row r="13" spans="2:4" x14ac:dyDescent="0.3">
      <c r="B13" s="3" t="s">
        <v>107</v>
      </c>
      <c r="C13" s="52">
        <v>45231</v>
      </c>
      <c r="D13" s="2">
        <v>0</v>
      </c>
    </row>
    <row r="14" spans="2:4" x14ac:dyDescent="0.3">
      <c r="B14" s="3" t="s">
        <v>107</v>
      </c>
      <c r="C14" s="52">
        <v>45261</v>
      </c>
      <c r="D14" s="2">
        <v>0</v>
      </c>
    </row>
    <row r="15" spans="2:4" x14ac:dyDescent="0.3">
      <c r="B15" s="3" t="s">
        <v>107</v>
      </c>
      <c r="C15" s="52">
        <v>45292</v>
      </c>
      <c r="D15" s="2">
        <v>0</v>
      </c>
    </row>
    <row r="16" spans="2:4" x14ac:dyDescent="0.3">
      <c r="B16" s="3" t="s">
        <v>107</v>
      </c>
      <c r="C16" s="52">
        <v>45323</v>
      </c>
      <c r="D16" s="2">
        <v>0</v>
      </c>
    </row>
    <row r="17" spans="2:4" x14ac:dyDescent="0.3">
      <c r="B17" s="3" t="s">
        <v>107</v>
      </c>
      <c r="C17" s="52">
        <v>45352</v>
      </c>
      <c r="D17" s="2">
        <v>0</v>
      </c>
    </row>
    <row r="18" spans="2:4" x14ac:dyDescent="0.3">
      <c r="B18" s="80" t="s">
        <v>5</v>
      </c>
      <c r="C18" s="81"/>
      <c r="D18" s="5">
        <f>SUM(D6:D10)</f>
        <v>0</v>
      </c>
    </row>
  </sheetData>
  <mergeCells count="1">
    <mergeCell ref="B18:C18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DD1F-84C5-4738-A1B2-C09DFC62802E}">
  <dimension ref="B2:G19"/>
  <sheetViews>
    <sheetView showGridLines="0" workbookViewId="0">
      <selection activeCell="B15" sqref="B15"/>
    </sheetView>
  </sheetViews>
  <sheetFormatPr defaultRowHeight="12" x14ac:dyDescent="0.3"/>
  <cols>
    <col min="1" max="1" width="3.6328125" style="1" customWidth="1"/>
    <col min="2" max="2" width="17.1796875" style="1" bestFit="1" customWidth="1"/>
    <col min="3" max="3" width="15.6328125" style="1" bestFit="1" customWidth="1"/>
    <col min="4" max="4" width="11.453125" style="1" bestFit="1" customWidth="1"/>
    <col min="5" max="5" width="10.26953125" style="1" bestFit="1" customWidth="1"/>
    <col min="6" max="6" width="30.81640625" style="1" customWidth="1"/>
    <col min="7" max="16384" width="8.7265625" style="1"/>
  </cols>
  <sheetData>
    <row r="2" spans="2:7" x14ac:dyDescent="0.3">
      <c r="B2" s="12" t="str">
        <f>'Employee Provisions'!B2</f>
        <v>Entity Name</v>
      </c>
    </row>
    <row r="3" spans="2:7" x14ac:dyDescent="0.3">
      <c r="B3" s="11" t="s">
        <v>113</v>
      </c>
    </row>
    <row r="5" spans="2:7" x14ac:dyDescent="0.3">
      <c r="B5" s="82" t="s">
        <v>112</v>
      </c>
      <c r="C5" s="83"/>
      <c r="D5" s="83"/>
      <c r="E5" s="83"/>
      <c r="F5" s="84"/>
    </row>
    <row r="6" spans="2:7" x14ac:dyDescent="0.3">
      <c r="B6" s="23" t="s">
        <v>108</v>
      </c>
      <c r="C6" s="23" t="s">
        <v>111</v>
      </c>
      <c r="D6" s="23" t="s">
        <v>63</v>
      </c>
      <c r="E6" s="23" t="s">
        <v>33</v>
      </c>
      <c r="F6" s="23" t="s">
        <v>86</v>
      </c>
    </row>
    <row r="7" spans="2:7" x14ac:dyDescent="0.3">
      <c r="B7" s="3" t="s">
        <v>104</v>
      </c>
      <c r="C7" s="56" t="s">
        <v>110</v>
      </c>
      <c r="D7" s="52">
        <v>45017</v>
      </c>
      <c r="E7" s="2">
        <v>0</v>
      </c>
      <c r="F7" s="3"/>
    </row>
    <row r="8" spans="2:7" x14ac:dyDescent="0.3">
      <c r="B8" s="3" t="s">
        <v>104</v>
      </c>
      <c r="C8" s="56" t="s">
        <v>110</v>
      </c>
      <c r="D8" s="52">
        <v>45047</v>
      </c>
      <c r="E8" s="2">
        <v>0</v>
      </c>
      <c r="F8" s="3"/>
    </row>
    <row r="9" spans="2:7" x14ac:dyDescent="0.3">
      <c r="B9" s="3" t="s">
        <v>104</v>
      </c>
      <c r="C9" s="56" t="s">
        <v>110</v>
      </c>
      <c r="D9" s="52">
        <v>45078</v>
      </c>
      <c r="E9" s="2">
        <v>0</v>
      </c>
      <c r="F9" s="3"/>
    </row>
    <row r="10" spans="2:7" x14ac:dyDescent="0.3">
      <c r="B10" s="3" t="s">
        <v>104</v>
      </c>
      <c r="C10" s="56" t="s">
        <v>110</v>
      </c>
      <c r="D10" s="52">
        <v>45108</v>
      </c>
      <c r="E10" s="2">
        <v>0</v>
      </c>
      <c r="F10" s="3"/>
    </row>
    <row r="11" spans="2:7" s="53" customFormat="1" x14ac:dyDescent="0.35">
      <c r="B11" s="15" t="s">
        <v>104</v>
      </c>
      <c r="C11" s="30" t="s">
        <v>110</v>
      </c>
      <c r="D11" s="55">
        <v>45139</v>
      </c>
      <c r="E11" s="27">
        <v>0</v>
      </c>
      <c r="F11" s="45"/>
      <c r="G11" s="54"/>
    </row>
    <row r="12" spans="2:7" s="53" customFormat="1" x14ac:dyDescent="0.35">
      <c r="B12" s="15" t="s">
        <v>104</v>
      </c>
      <c r="C12" s="30" t="s">
        <v>110</v>
      </c>
      <c r="D12" s="55">
        <v>45170</v>
      </c>
      <c r="E12" s="27">
        <v>0</v>
      </c>
      <c r="F12" s="45"/>
      <c r="G12" s="54"/>
    </row>
    <row r="13" spans="2:7" s="53" customFormat="1" x14ac:dyDescent="0.35">
      <c r="B13" s="15" t="s">
        <v>104</v>
      </c>
      <c r="C13" s="30" t="s">
        <v>110</v>
      </c>
      <c r="D13" s="55">
        <v>45200</v>
      </c>
      <c r="E13" s="27">
        <v>0</v>
      </c>
      <c r="F13" s="45"/>
      <c r="G13" s="54"/>
    </row>
    <row r="14" spans="2:7" s="53" customFormat="1" x14ac:dyDescent="0.35">
      <c r="B14" s="15" t="s">
        <v>104</v>
      </c>
      <c r="C14" s="30" t="s">
        <v>110</v>
      </c>
      <c r="D14" s="55">
        <v>45231</v>
      </c>
      <c r="E14" s="27">
        <v>0</v>
      </c>
      <c r="F14" s="45"/>
      <c r="G14" s="54"/>
    </row>
    <row r="15" spans="2:7" s="53" customFormat="1" x14ac:dyDescent="0.35">
      <c r="B15" s="15" t="s">
        <v>104</v>
      </c>
      <c r="C15" s="30" t="s">
        <v>110</v>
      </c>
      <c r="D15" s="55">
        <v>45261</v>
      </c>
      <c r="E15" s="27">
        <v>0</v>
      </c>
      <c r="F15" s="45"/>
      <c r="G15" s="54"/>
    </row>
    <row r="16" spans="2:7" s="53" customFormat="1" x14ac:dyDescent="0.35">
      <c r="B16" s="15" t="s">
        <v>104</v>
      </c>
      <c r="C16" s="30" t="s">
        <v>110</v>
      </c>
      <c r="D16" s="55">
        <v>45292</v>
      </c>
      <c r="E16" s="27">
        <v>0</v>
      </c>
      <c r="F16" s="45"/>
      <c r="G16" s="54"/>
    </row>
    <row r="17" spans="2:7" s="53" customFormat="1" x14ac:dyDescent="0.35">
      <c r="B17" s="15" t="s">
        <v>104</v>
      </c>
      <c r="C17" s="30" t="s">
        <v>110</v>
      </c>
      <c r="D17" s="55">
        <v>45323</v>
      </c>
      <c r="E17" s="27">
        <v>0</v>
      </c>
      <c r="F17" s="45"/>
      <c r="G17" s="54"/>
    </row>
    <row r="18" spans="2:7" s="53" customFormat="1" x14ac:dyDescent="0.35">
      <c r="B18" s="15" t="s">
        <v>104</v>
      </c>
      <c r="C18" s="30" t="s">
        <v>110</v>
      </c>
      <c r="D18" s="55">
        <v>45352</v>
      </c>
      <c r="E18" s="27">
        <v>0</v>
      </c>
      <c r="F18" s="45"/>
      <c r="G18" s="54"/>
    </row>
    <row r="19" spans="2:7" x14ac:dyDescent="0.3">
      <c r="B19" s="72" t="s">
        <v>5</v>
      </c>
      <c r="C19" s="72"/>
      <c r="D19" s="72"/>
      <c r="E19" s="5">
        <f>SUM(E7:E18)</f>
        <v>0</v>
      </c>
      <c r="F19" s="3"/>
    </row>
  </sheetData>
  <mergeCells count="2">
    <mergeCell ref="B19:D19"/>
    <mergeCell ref="B5:F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60DF3FFF50D1438E2B4C9D1DE9B5C9" ma:contentTypeVersion="13" ma:contentTypeDescription="Create a new document." ma:contentTypeScope="" ma:versionID="64141c2ff14cba6f402c3534b7c0d671">
  <xsd:schema xmlns:xsd="http://www.w3.org/2001/XMLSchema" xmlns:xs="http://www.w3.org/2001/XMLSchema" xmlns:p="http://schemas.microsoft.com/office/2006/metadata/properties" xmlns:ns2="d57792f1-a0d6-443d-8658-3efb496e1f6c" xmlns:ns3="716d9295-5aad-411b-b7e6-737ee612df6a" targetNamespace="http://schemas.microsoft.com/office/2006/metadata/properties" ma:root="true" ma:fieldsID="79d2f5fbbf2c604e4ed7beabebf1bf23" ns2:_="" ns3:_="">
    <xsd:import namespace="d57792f1-a0d6-443d-8658-3efb496e1f6c"/>
    <xsd:import namespace="716d9295-5aad-411b-b7e6-737ee612d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792f1-a0d6-443d-8658-3efb496e1f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667bcf-8ba4-4cb7-bc51-ae23bf6bf4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d9295-5aad-411b-b7e6-737ee612d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16d9295-5aad-411b-b7e6-737ee612df6a">
      <UserInfo>
        <DisplayName/>
        <AccountId xsi:nil="true"/>
        <AccountType/>
      </UserInfo>
    </SharedWithUsers>
    <lcf76f155ced4ddcb4097134ff3c332f xmlns="d57792f1-a0d6-443d-8658-3efb496e1f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A492AB-D77E-4230-8B1E-1D4FCC2527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371A1B-A41E-4132-92DD-ACF83B5E0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7792f1-a0d6-443d-8658-3efb496e1f6c"/>
    <ds:schemaRef ds:uri="716d9295-5aad-411b-b7e6-737ee612d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0958B7-9940-4237-87BF-04EF1FABE61E}">
  <ds:schemaRefs>
    <ds:schemaRef ds:uri="http://schemas.microsoft.com/office/2006/metadata/properties"/>
    <ds:schemaRef ds:uri="716d9295-5aad-411b-b7e6-737ee612df6a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d57792f1-a0d6-443d-8658-3efb496e1f6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Revenue Workings</vt:lpstr>
      <vt:lpstr>Accrued Expenses</vt:lpstr>
      <vt:lpstr>Inter Company Payable</vt:lpstr>
      <vt:lpstr>Accounts Payable</vt:lpstr>
      <vt:lpstr>Employee payables</vt:lpstr>
      <vt:lpstr>Statutory Liability - Employees</vt:lpstr>
      <vt:lpstr>Witholding taxes</vt:lpstr>
      <vt:lpstr>Bank Balance</vt:lpstr>
      <vt:lpstr>Other Receivables</vt:lpstr>
      <vt:lpstr>Loans &amp; Advances</vt:lpstr>
      <vt:lpstr>Employee Provisions</vt:lpstr>
      <vt:lpstr>Provision for Income 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Varalakshmi B K</dc:creator>
  <cp:lastModifiedBy>Siddhatri Gupta</cp:lastModifiedBy>
  <dcterms:created xsi:type="dcterms:W3CDTF">2022-11-04T07:20:06Z</dcterms:created>
  <dcterms:modified xsi:type="dcterms:W3CDTF">2026-05-01T18:07:50Z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bb76bd-f6d2-45bc-998e-d6f84e379b20_Enabled">
    <vt:lpwstr>true</vt:lpwstr>
  </property>
  <property fmtid="{D5CDD505-2E9C-101B-9397-08002B2CF9AE}" pid="3" name="MSIP_Label_20bb76bd-f6d2-45bc-998e-d6f84e379b20_SetDate">
    <vt:lpwstr>2022-11-08T12:46:43Z</vt:lpwstr>
  </property>
  <property fmtid="{D5CDD505-2E9C-101B-9397-08002B2CF9AE}" pid="4" name="MSIP_Label_20bb76bd-f6d2-45bc-998e-d6f84e379b20_Method">
    <vt:lpwstr>Standard</vt:lpwstr>
  </property>
  <property fmtid="{D5CDD505-2E9C-101B-9397-08002B2CF9AE}" pid="5" name="MSIP_Label_20bb76bd-f6d2-45bc-998e-d6f84e379b20_Name">
    <vt:lpwstr>Public</vt:lpwstr>
  </property>
  <property fmtid="{D5CDD505-2E9C-101B-9397-08002B2CF9AE}" pid="6" name="MSIP_Label_20bb76bd-f6d2-45bc-998e-d6f84e379b20_SiteId">
    <vt:lpwstr>b08407bb-0b20-4d4c-bba5-89a41710caaa</vt:lpwstr>
  </property>
  <property fmtid="{D5CDD505-2E9C-101B-9397-08002B2CF9AE}" pid="7" name="MSIP_Label_20bb76bd-f6d2-45bc-998e-d6f84e379b20_ActionId">
    <vt:lpwstr>fa05b3d7-99be-4c10-9c84-4a9cdede2a1b</vt:lpwstr>
  </property>
  <property fmtid="{D5CDD505-2E9C-101B-9397-08002B2CF9AE}" pid="8" name="MSIP_Label_20bb76bd-f6d2-45bc-998e-d6f84e379b20_ContentBits">
    <vt:lpwstr>0</vt:lpwstr>
  </property>
  <property fmtid="{D5CDD505-2E9C-101B-9397-08002B2CF9AE}" pid="9" name="ContentTypeId">
    <vt:lpwstr>0x0101004E60DF3FFF50D1438E2B4C9D1DE9B5C9</vt:lpwstr>
  </property>
  <property fmtid="{D5CDD505-2E9C-101B-9397-08002B2CF9AE}" pid="10" name="Order">
    <vt:r8>730000</vt:r8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